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a" sheetId="1" state="visible" r:id="rId3"/>
    <sheet name="EAP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<sst xmlns="http://schemas.openxmlformats.org/spreadsheetml/2006/main" count="63" uniqueCount="62">
  <si>
    <t xml:space="preserve">EAP — ESTRUTURA ANALÍTICA DO PROJETO</t>
  </si>
  <si>
    <t xml:space="preserve">Template padrão Manta para output Motiva (ex-CCR Rodovias) — v1</t>
  </si>
  <si>
    <t xml:space="preserve">Cliente</t>
  </si>
  <si>
    <t xml:space="preserve">MOTIVA Infraestrutura de Mobilidade</t>
  </si>
  <si>
    <t xml:space="preserve">Projeto</t>
  </si>
  <si>
    <t xml:space="preserve">Código do empreendimento</t>
  </si>
  <si>
    <t xml:space="preserve">SP0-000</t>
  </si>
  <si>
    <t xml:space="preserve">PEP</t>
  </si>
  <si>
    <t xml:space="preserve">Modal</t>
  </si>
  <si>
    <t xml:space="preserve">UF</t>
  </si>
  <si>
    <t xml:space="preserve">Município</t>
  </si>
  <si>
    <t xml:space="preserve">Fase de orçamentação</t>
  </si>
  <si>
    <t xml:space="preserve">Revisão</t>
  </si>
  <si>
    <t xml:space="preserve">R00</t>
  </si>
  <si>
    <t xml:space="preserve">Data-base</t>
  </si>
  <si>
    <t xml:space="preserve">LEGENDA</t>
  </si>
  <si>
    <t xml:space="preserve">Célula com preenchimento automático (fórmula) — não editar</t>
  </si>
  <si>
    <t xml:space="preserve">Célula para preenchimento manual</t>
  </si>
  <si>
    <t xml:space="preserve">Cores institucionais da Motiva: lacuna confirmada em duas varreduras do SharePoint (ver docs/PADRAO-OUTPUT-MOTIVA.md, seção 5). Este template usa a paleta neutra padrão Manta até a confirmação oficial da marca pelo cliente.</t>
  </si>
  <si>
    <t xml:space="preserve">NÍVEL</t>
  </si>
  <si>
    <t xml:space="preserve">ITEM</t>
  </si>
  <si>
    <t xml:space="preserve">FONTE</t>
  </si>
  <si>
    <t xml:space="preserve">CÓD. TAB. PÚBLICA</t>
  </si>
  <si>
    <t xml:space="preserve">GRUPO</t>
  </si>
  <si>
    <t xml:space="preserve">SUB-GRUPO</t>
  </si>
  <si>
    <t xml:space="preserve">CÓD. INTERNO</t>
  </si>
  <si>
    <t xml:space="preserve">DESCRIÇÃO</t>
  </si>
  <si>
    <t xml:space="preserve">UND</t>
  </si>
  <si>
    <t xml:space="preserve">QUANT. TOTAL</t>
  </si>
  <si>
    <t xml:space="preserve">CUSTO UNITÁRIO</t>
  </si>
  <si>
    <t xml:space="preserve">CUSTO TOTAL</t>
  </si>
  <si>
    <t xml:space="preserve">BDI</t>
  </si>
  <si>
    <t xml:space="preserve">PREÇO UNITÁRIO</t>
  </si>
  <si>
    <t xml:space="preserve">PREÇO TOTAL</t>
  </si>
  <si>
    <t xml:space="preserve">%</t>
  </si>
  <si>
    <t xml:space="preserve">1</t>
  </si>
  <si>
    <t xml:space="preserve">VIÁRIO</t>
  </si>
  <si>
    <t xml:space="preserve">1.2</t>
  </si>
  <si>
    <t xml:space="preserve">RE — Reformas</t>
  </si>
  <si>
    <t xml:space="preserve">1.2.4</t>
  </si>
  <si>
    <t xml:space="preserve">DEDF — Demolição de dispositivos de segurança</t>
  </si>
  <si>
    <t xml:space="preserve">1.2.4.1</t>
  </si>
  <si>
    <t xml:space="preserve">Tab. pública</t>
  </si>
  <si>
    <t xml:space="preserve">D3246</t>
  </si>
  <si>
    <t xml:space="preserve">RE</t>
  </si>
  <si>
    <t xml:space="preserve">DEDF</t>
  </si>
  <si>
    <t xml:space="preserve">SP0-000-VIÁRIO-RE-DEDF</t>
  </si>
  <si>
    <t xml:space="preserve">Demolição de defensa metálica</t>
  </si>
  <si>
    <t xml:space="preserve">m</t>
  </si>
  <si>
    <t xml:space="preserve">1.3</t>
  </si>
  <si>
    <t xml:space="preserve">IM — Implantação</t>
  </si>
  <si>
    <t xml:space="preserve">1.3.1</t>
  </si>
  <si>
    <t xml:space="preserve">PAV — Pavimentação</t>
  </si>
  <si>
    <t xml:space="preserve">1.3.1.1</t>
  </si>
  <si>
    <t xml:space="preserve">E1005</t>
  </si>
  <si>
    <t xml:space="preserve">IM</t>
  </si>
  <si>
    <t xml:space="preserve">PAV</t>
  </si>
  <si>
    <t xml:space="preserve">SP0-000-VIÁRIO-IM-PAV</t>
  </si>
  <si>
    <t xml:space="preserve">Implantação de pavimento — CBUQ</t>
  </si>
  <si>
    <t xml:space="preserve">m³</t>
  </si>
  <si>
    <t xml:space="preserve">TOTAL GERAL</t>
  </si>
  <si>
    <t xml:space="preserve">Linhas de item acima são exemplo/modelo — preencher quantitativo, custo unitário e BDI por item real do projeto. Hierarquia: N1 macro-disciplina · N2 grupo · N3 sub-grupo · N4 item/composição.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</si>
</sst>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937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5E7EB"/>
        <bgColor rgb="FFDCEAF7"/>
      </patternFill>
    </fill>
    <fill>
      <patternFill patternType="solid">
        <fgColor rgb="FFFFF3CD"/>
        <bgColor rgb="FFFFFFFF"/>
      </patternFill>
    </fill>
    <fill>
      <patternFill patternType="solid">
        <fgColor rgb="FFDCEAF7"/>
        <bgColor rgb="FFE5E7EB"/>
      </patternFill>
    </fill>
    <fill>
      <patternFill patternType="solid">
        <fgColor rgb="FF1F2937"/>
        <bgColor rgb="FF111827"/>
      </patternFill>
    </fill>
    <fill>
      <patternFill patternType="solid">
        <fgColor rgb="FF374151"/>
        <bgColor rgb="FF1F2937"/>
      </patternFill>
    </fill>
    <fill>
      <patternFill patternType="solid">
        <fgColor rgb="FF6B7280"/>
        <bgColor rgb="FF808080"/>
      </patternFill>
    </fill>
    <fill>
      <patternFill patternType="solid">
        <fgColor rgb="FF9CA3AF"/>
        <bgColor rgb="FF9999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CA3AF"/>
      <rgbColor rgb="FF003366"/>
      <rgbColor rgb="FF339966"/>
      <rgbColor rgb="FF111827"/>
      <rgbColor rgb="FF333300"/>
      <rgbColor rgb="FF993300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5" min="5" style="0" width="34"/>
  </cols>
  <sheetData>
    <row r="2" customFormat="false" ht="17.35" hidden="false" customHeight="false" outlineLevel="0" collapsed="false">
      <c r="B2" s="1" t="s">
        <v>0</v>
      </c>
      <c r="C2" s="1"/>
      <c r="D2" s="1"/>
      <c r="E2" s="1"/>
    </row>
    <row r="3" customFormat="false" ht="15" hidden="false" customHeight="false" outlineLevel="0" collapsed="false">
      <c r="B3" s="2" t="s">
        <v>1</v>
      </c>
      <c r="C3" s="2"/>
      <c r="D3" s="2"/>
      <c r="E3" s="2"/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3" t="s">
        <v>4</v>
      </c>
      <c r="C6" s="4"/>
    </row>
    <row r="7" customFormat="false" ht="15" hidden="false" customHeight="false" outlineLevel="0" collapsed="false">
      <c r="B7" s="3" t="s">
        <v>5</v>
      </c>
      <c r="C7" s="4" t="s">
        <v>6</v>
      </c>
    </row>
    <row r="8" customFormat="false" ht="15" hidden="false" customHeight="false" outlineLevel="0" collapsed="false">
      <c r="B8" s="3" t="s">
        <v>7</v>
      </c>
      <c r="C8" s="4"/>
    </row>
    <row r="9" customFormat="false" ht="15" hidden="false" customHeight="false" outlineLevel="0" collapsed="false">
      <c r="B9" s="3" t="s">
        <v>8</v>
      </c>
      <c r="C9" s="4"/>
    </row>
    <row r="10" customFormat="false" ht="15" hidden="false" customHeight="false" outlineLevel="0" collapsed="false">
      <c r="B10" s="3" t="s">
        <v>9</v>
      </c>
      <c r="C10" s="4"/>
    </row>
    <row r="11" customFormat="false" ht="15" hidden="false" customHeight="false" outlineLevel="0" collapsed="false">
      <c r="B11" s="3" t="s">
        <v>10</v>
      </c>
      <c r="C11" s="4"/>
    </row>
    <row r="12" customFormat="false" ht="15" hidden="false" customHeight="false" outlineLevel="0" collapsed="false">
      <c r="B12" s="3" t="s">
        <v>11</v>
      </c>
      <c r="C12" s="4"/>
    </row>
    <row r="13" customFormat="false" ht="15" hidden="false" customHeight="false" outlineLevel="0" collapsed="false">
      <c r="B13" s="3" t="s">
        <v>12</v>
      </c>
      <c r="C13" s="4" t="s">
        <v>13</v>
      </c>
    </row>
    <row r="14" customFormat="false" ht="15" hidden="false" customHeight="false" outlineLevel="0" collapsed="false">
      <c r="B14" s="3" t="s">
        <v>14</v>
      </c>
      <c r="C14" s="4"/>
    </row>
    <row r="16" customFormat="false" ht="15" hidden="false" customHeight="false" outlineLevel="0" collapsed="false">
      <c r="B16" s="5" t="s">
        <v>15</v>
      </c>
    </row>
    <row r="17" customFormat="false" ht="15" hidden="false" customHeight="false" outlineLevel="0" collapsed="false">
      <c r="B17" s="6"/>
      <c r="C17" s="7" t="s">
        <v>16</v>
      </c>
    </row>
    <row r="18" customFormat="false" ht="15" hidden="false" customHeight="false" outlineLevel="0" collapsed="false">
      <c r="B18" s="8"/>
      <c r="C18" s="7" t="s">
        <v>17</v>
      </c>
    </row>
    <row r="20" customFormat="false" ht="15" hidden="false" customHeight="true" outlineLevel="0" collapsed="false">
      <c r="B20" s="9" t="s">
        <v>18</v>
      </c>
      <c r="C20" s="9"/>
      <c r="D20" s="9"/>
      <c r="E20" s="9"/>
    </row>
    <row r="21" customFormat="false" ht="15" hidden="false" customHeight="false" outlineLevel="0" collapsed="false">
      <c r="B21" s="9"/>
      <c r="C21" s="9"/>
      <c r="D21" s="9"/>
      <c r="E21" s="9"/>
    </row>
    <row r="22" customFormat="false" ht="15" hidden="false" customHeight="false" outlineLevel="0" collapsed="false">
      <c r="B22" s="9"/>
      <c r="C22" s="9"/>
      <c r="D22" s="9"/>
      <c r="E22" s="9"/>
    </row>
  </sheetData>
  <mergeCells count="3">
    <mergeCell ref="B2:E2"/>
    <mergeCell ref="B3:E3"/>
    <mergeCell ref="B20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4"/>
    <col collapsed="false" customWidth="true" hidden="false" outlineLevel="0" max="8" min="8" style="0" width="34"/>
    <col collapsed="false" customWidth="true" hidden="false" outlineLevel="0" max="9" min="9" style="0" width="6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3" min="13" style="0" width="8"/>
    <col collapsed="false" customWidth="true" hidden="false" outlineLevel="0" max="14" min="14" style="0" width="13"/>
    <col collapsed="false" customWidth="true" hidden="false" outlineLevel="0" max="15" min="15" style="0" width="14"/>
    <col collapsed="false" customWidth="true" hidden="false" outlineLevel="0" max="16" min="16" style="0" width="8"/>
  </cols>
  <sheetData>
    <row r="1" customFormat="false" ht="30" hidden="false" customHeight="true" outlineLevel="0" collapsed="false">
      <c r="A1" s="10" t="s">
        <v>19</v>
      </c>
      <c r="B1" s="10" t="s">
        <v>20</v>
      </c>
      <c r="C1" s="10" t="s">
        <v>21</v>
      </c>
      <c r="D1" s="10" t="s">
        <v>22</v>
      </c>
      <c r="E1" s="10" t="s">
        <v>23</v>
      </c>
      <c r="F1" s="10" t="s">
        <v>24</v>
      </c>
      <c r="G1" s="10" t="s">
        <v>25</v>
      </c>
      <c r="H1" s="10" t="s">
        <v>26</v>
      </c>
      <c r="I1" s="10" t="s">
        <v>27</v>
      </c>
      <c r="J1" s="10" t="s">
        <v>28</v>
      </c>
      <c r="K1" s="10" t="s">
        <v>29</v>
      </c>
      <c r="L1" s="10" t="s">
        <v>30</v>
      </c>
      <c r="M1" s="10" t="s">
        <v>31</v>
      </c>
      <c r="N1" s="10" t="s">
        <v>32</v>
      </c>
      <c r="O1" s="10" t="s">
        <v>33</v>
      </c>
      <c r="P1" s="10" t="s">
        <v>34</v>
      </c>
    </row>
    <row r="2" customFormat="false" ht="15" hidden="false" customHeight="false" outlineLevel="0" collapsed="false">
      <c r="A2" s="11" t="s">
        <v>35</v>
      </c>
      <c r="B2" s="11" t="s">
        <v>36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customFormat="false" ht="15" hidden="false" customHeight="false" outlineLevel="0" collapsed="false">
      <c r="A3" s="12" t="s">
        <v>37</v>
      </c>
      <c r="B3" s="12" t="s">
        <v>38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customFormat="false" ht="15" hidden="false" customHeight="false" outlineLevel="0" collapsed="false">
      <c r="A4" s="13" t="s">
        <v>39</v>
      </c>
      <c r="B4" s="13" t="s">
        <v>40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</row>
    <row r="5" customFormat="false" ht="15" hidden="false" customHeight="false" outlineLevel="0" collapsed="false">
      <c r="A5" s="14" t="s">
        <v>41</v>
      </c>
      <c r="C5" s="14" t="s">
        <v>42</v>
      </c>
      <c r="D5" s="14" t="s">
        <v>43</v>
      </c>
      <c r="E5" s="14" t="s">
        <v>44</v>
      </c>
      <c r="F5" s="14" t="s">
        <v>45</v>
      </c>
      <c r="G5" s="14" t="s">
        <v>46</v>
      </c>
      <c r="H5" s="14" t="s">
        <v>47</v>
      </c>
      <c r="I5" s="14" t="s">
        <v>48</v>
      </c>
      <c r="J5" s="15" t="n">
        <v>1240</v>
      </c>
      <c r="K5" s="15" t="n">
        <v>18.4</v>
      </c>
      <c r="L5" s="16" t="n">
        <f aca="false">J5*K5</f>
        <v>22816</v>
      </c>
      <c r="M5" s="17" t="n">
        <v>0.28</v>
      </c>
      <c r="N5" s="16" t="n">
        <f aca="false">K5*(1+M5)</f>
        <v>23.552</v>
      </c>
      <c r="O5" s="16" t="n">
        <f aca="false">J5*N5</f>
        <v>29204.48</v>
      </c>
      <c r="P5" s="18" t="n">
        <f aca="false">IFERROR(O5/$O$10,0)</f>
        <v>0.00956281633658968</v>
      </c>
    </row>
    <row r="6" customFormat="false" ht="15" hidden="false" customHeight="false" outlineLevel="0" collapsed="false">
      <c r="A6" s="12" t="s">
        <v>49</v>
      </c>
      <c r="B6" s="12" t="s">
        <v>50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customFormat="false" ht="15" hidden="false" customHeight="false" outlineLevel="0" collapsed="false">
      <c r="A7" s="13" t="s">
        <v>51</v>
      </c>
      <c r="B7" s="13" t="s">
        <v>52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</row>
    <row r="8" customFormat="false" ht="15" hidden="false" customHeight="false" outlineLevel="0" collapsed="false">
      <c r="A8" s="14" t="s">
        <v>53</v>
      </c>
      <c r="C8" s="14" t="s">
        <v>42</v>
      </c>
      <c r="D8" s="14" t="s">
        <v>54</v>
      </c>
      <c r="E8" s="14" t="s">
        <v>55</v>
      </c>
      <c r="F8" s="14" t="s">
        <v>56</v>
      </c>
      <c r="G8" s="14" t="s">
        <v>57</v>
      </c>
      <c r="H8" s="14" t="s">
        <v>58</v>
      </c>
      <c r="I8" s="14" t="s">
        <v>59</v>
      </c>
      <c r="J8" s="15" t="n">
        <v>3860</v>
      </c>
      <c r="K8" s="15" t="n">
        <v>612.2</v>
      </c>
      <c r="L8" s="16" t="n">
        <f aca="false">J8*K8</f>
        <v>2363092</v>
      </c>
      <c r="M8" s="17" t="n">
        <v>0.28</v>
      </c>
      <c r="N8" s="16" t="n">
        <f aca="false">K8*(1+M8)</f>
        <v>783.616</v>
      </c>
      <c r="O8" s="16" t="n">
        <f aca="false">J8*N8</f>
        <v>3024757.76</v>
      </c>
      <c r="P8" s="18" t="n">
        <f aca="false">IFERROR(O8/$O$10,0)</f>
        <v>0.99043718366341</v>
      </c>
    </row>
    <row r="10" customFormat="false" ht="15" hidden="false" customHeight="false" outlineLevel="0" collapsed="false">
      <c r="H10" s="19" t="s">
        <v>60</v>
      </c>
      <c r="O10" s="20" t="n">
        <f aca="false">SUM(O5:O8)</f>
        <v>3053962.24</v>
      </c>
    </row>
    <row r="12" customFormat="false" ht="15" hidden="false" customHeight="true" outlineLevel="0" collapsed="false">
      <c r="A12" s="21" t="s">
        <v>61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</row>
  </sheetData>
  <mergeCells count="6">
    <mergeCell ref="B2:P2"/>
    <mergeCell ref="B3:P3"/>
    <mergeCell ref="B4:P4"/>
    <mergeCell ref="B6:P6"/>
    <mergeCell ref="B7:P7"/>
    <mergeCell ref="A12:P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2026-08-30T12:31:37Z</dcterms:created>
  <dc:creator>openpyxl</dc:creator>
  <dc:description/>
  <dc:language>en-US</dc:language>
  <cp:lastModifiedBy/>
  <dcterms:modified xsi:type="dcterms:W3CDTF">2026-08-30T12:31:37Z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