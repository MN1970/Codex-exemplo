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odovias" sheetId="2" state="visible" r:id="rId2"/>
    <sheet name="Ferrovias" sheetId="3" state="visible" r:id="rId3"/>
    <sheet name="Portos" sheetId="4" state="visible" r:id="rId4"/>
    <sheet name="Aeroportos" sheetId="5" state="visible" r:id="rId5"/>
    <sheet name="Saneamento" sheetId="6" state="visible" r:id="rId6"/>
    <sheet name="Metrôs" sheetId="7" state="visible" r:id="rId7"/>
    <sheet name="Energia" sheetId="8" state="visible" r:id="rId8"/>
    <sheet name="Barrage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0000FF"/>
      <sz val="11"/>
    </font>
    <font>
      <name val="Arial"/>
      <b val="1"/>
      <color rgb="008F2E25"/>
      <sz val="11.5"/>
    </font>
    <font>
      <name val="Arial"/>
      <b val="1"/>
      <color rgb="00FFFFFF"/>
      <sz val="10"/>
    </font>
    <font>
      <name val="Arial"/>
      <color rgb="000000FF"/>
      <sz val="11"/>
    </font>
    <font>
      <name val="Arial"/>
      <sz val="9"/>
    </font>
    <font>
      <name val="Arial"/>
      <b val="1"/>
      <sz val="9"/>
    </font>
    <font>
      <name val="Arial"/>
      <i val="1"/>
      <color rgb="0040493F"/>
      <sz val="9.5"/>
    </font>
  </fonts>
  <fills count="9">
    <fill>
      <patternFill/>
    </fill>
    <fill>
      <patternFill patternType="gray125"/>
    </fill>
    <fill>
      <patternFill patternType="solid">
        <fgColor rgb="008F2E25"/>
      </patternFill>
    </fill>
    <fill>
      <patternFill patternType="solid">
        <fgColor rgb="00FFFF00"/>
      </patternFill>
    </fill>
    <fill>
      <patternFill patternType="solid">
        <fgColor rgb="0040493F"/>
      </patternFill>
    </fill>
    <fill>
      <patternFill patternType="solid">
        <fgColor rgb="00DCEFE1"/>
      </patternFill>
    </fill>
    <fill>
      <patternFill patternType="solid">
        <fgColor rgb="00F2F2F2"/>
      </patternFill>
    </fill>
    <fill>
      <patternFill patternType="solid">
        <fgColor rgb="00F5DEDE"/>
      </patternFill>
    </fill>
    <fill>
      <patternFill patternType="solid">
        <fgColor rgb="00F4EAD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164" fontId="7" fillId="3" borderId="1" pivotButton="0" quotePrefix="0" xfId="0"/>
    <xf numFmtId="0" fontId="6" fillId="0" borderId="0" pivotButton="0" quotePrefix="0" xfId="0"/>
    <xf numFmtId="0" fontId="8" fillId="0" borderId="0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2" fillId="0" borderId="1" pivotButton="0" quotePrefix="0" xfId="0"/>
    <xf numFmtId="165" fontId="10" fillId="0" borderId="1" pivotButton="0" quotePrefix="0" xfId="0"/>
    <xf numFmtId="164" fontId="2" fillId="0" borderId="1" pivotButton="0" quotePrefix="0" xfId="0"/>
    <xf numFmtId="0" fontId="11" fillId="0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0" fillId="0" borderId="1" pivotButton="0" quotePrefix="0" xfId="0"/>
    <xf numFmtId="0" fontId="13" fillId="6" borderId="0" applyAlignment="1" pivotButton="0" quotePrefix="0" xfId="0">
      <alignment vertical="top" wrapText="1"/>
    </xf>
    <xf numFmtId="165" fontId="2" fillId="3" borderId="1" pivotButton="0" quotePrefix="0" xfId="0"/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Manta Associados — Pesquisa de Fontes</author>
  </authors>
  <commentList>
    <comment ref="D15" authorId="0" shapeId="0">
      <text>
        <t>Benchmark internacional — usar como cross-check de ordem de grandeza, não somar ao subtotal Brasil.</t>
      </text>
    </comment>
  </commentList>
</comments>
</file>

<file path=xl/comments/comment2.xml><?xml version="1.0" encoding="utf-8"?>
<comments xmlns="http://schemas.openxmlformats.org/spreadsheetml/2006/main">
  <authors>
    <author>Manta Associados — Pesquisa de Fontes</author>
  </authors>
  <commentList>
    <comment ref="D7" authorId="0" shapeId="0">
      <text>
        <t>Preencher manualmente após abrir DFP/ITR (CVM) de Rumo ou MRS.</t>
      </text>
    </comment>
    <comment ref="D12" authorId="0" shapeId="0">
      <text>
        <t>Ferrovia Classe I dos EUA — perfil de capital diferente do Brasil.</t>
      </text>
    </comment>
  </commentList>
</comments>
</file>

<file path=xl/comments/comment3.xml><?xml version="1.0" encoding="utf-8"?>
<comments xmlns="http://schemas.openxmlformats.org/spreadsheetml/2006/main">
  <authors>
    <author>Manta Associados — Pesquisa de Fontes</author>
  </authors>
  <commentList>
    <comment ref="D12" authorId="0" shapeId="0">
      <text>
        <t>É % do OPEX, não da receita — multiplicar por uma razão OPEX/Receita (ex.: ~47-50% em operadores brasileiros com margem EBITDA ~50-53%) antes de aplicar sobre a receita.</t>
      </text>
    </comment>
  </commentList>
</comments>
</file>

<file path=xl/comments/comment4.xml><?xml version="1.0" encoding="utf-8"?>
<comments xmlns="http://schemas.openxmlformats.org/spreadsheetml/2006/main">
  <authors>
    <author>Manta Associados — Pesquisa de Fontes</author>
  </authors>
  <commentList>
    <comment ref="D12" authorId="0" shapeId="0">
      <text>
        <t>% do OPEX agregado global, não da receita direta — usar como cross-check, não como coeficiente final.</t>
      </text>
    </comment>
  </commentList>
</comments>
</file>

<file path=xl/comments/comment5.xml><?xml version="1.0" encoding="utf-8"?>
<comments xmlns="http://schemas.openxmlformats.org/spreadsheetml/2006/main">
  <authors>
    <author>Manta Associados — Pesquisa de Fontes</author>
  </authors>
  <commentList>
    <comment ref="D16" authorId="0" shapeId="0">
      <text>
        <t>Benchmark internacional, não somar ao subtotal Brasil.</t>
      </text>
    </comment>
  </commentList>
</comments>
</file>

<file path=xl/comments/comment6.xml><?xml version="1.0" encoding="utf-8"?>
<comments xmlns="http://schemas.openxmlformats.org/spreadsheetml/2006/main">
  <authors>
    <author>Manta Associados — Pesquisa de Fontes</author>
  </authors>
  <commentList>
    <comment ref="D15" authorId="0" shapeId="0">
      <text>
        <t>Melhor fonte internacional do catálogo (API pública nativa) — usar como cross-check de ordem de grandeza.</t>
      </text>
    </comment>
  </commentList>
</comments>
</file>

<file path=xl/comments/comment7.xml><?xml version="1.0" encoding="utf-8"?>
<comments xmlns="http://schemas.openxmlformats.org/spreadsheetml/2006/main">
  <authors>
    <author>Manta Associados — Pesquisa de Fontes</author>
  </authors>
  <commentList>
    <comment ref="D7" authorId="0" shapeId="0">
      <text>
        <t>PMSO agregado (Pessoal+Material+Serviço de Terceiros+Outros) — ANEEL/MCSE não fornece quebra interna publicamente indexada.</t>
      </text>
    </comment>
    <comment ref="D8" authorId="0" shapeId="0">
      <text>
        <t>Sobre receita líquida consolidada, não RAP pura — usar como cross-check do PMSO/RAP.</t>
      </text>
    </comment>
  </commentList>
</comments>
</file>

<file path=xl/comments/comment8.xml><?xml version="1.0" encoding="utf-8"?>
<comments xmlns="http://schemas.openxmlformats.org/spreadsheetml/2006/main">
  <authors>
    <author>Manta Associados — Pesquisa de Fontes</author>
  </authors>
  <commentList>
    <comment ref="D7" authorId="0" shapeId="0">
      <text>
        <t>É proxy: % da receita da MINERADORA, não de um 'projeto de barragem' (que não gera receita própria).</t>
      </text>
    </comment>
    <comment ref="D8" authorId="0" shapeId="0">
      <text>
        <t>Preencher receita líquida Vale 2025 para calcular o %; separado do valor de Brumadinho (US$299mi), que é outra rubrica.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MEF — Modelos Econômico-Financeiros por Segmento (Livro Rubro)</t>
        </is>
      </c>
    </row>
    <row r="3" ht="80" customHeight="1">
      <c r="A3" s="2" t="inlineStr">
        <is>
          <t>Cada aba deste workbook é um MEF (Modelo Econômico-Financeiro) de um segmento: parte da RECEITA de um projeto (célula amarela, editável) e aplica os coeficientes confirmados no catálogo pesquisa-fontes/FONTES_RECEITA_SETORIAL.md (rodadas 1-3) para estimar consumo de mão de obra, equipamento e material/serviços. Complementa — não substitui — o modelo baseado em CAPEX do Livro Azul. Cada aba pode ter mais de um bloco de coeficientes (ex.: Brasil vs. benchmark internacional); um bloco só tem subtotal quando suas linhas são categorias aditivas da MESMA empresa/período — comparações entre empresas ou cenários alternativos aparecem lado a lado, sem soma, para não produzir um número sem sentido.</t>
        </is>
      </c>
    </row>
    <row r="5">
      <c r="A5" s="3" t="inlineStr">
        <is>
          <t>Legenda de cores e selos</t>
        </is>
      </c>
    </row>
    <row r="6">
      <c r="A6" s="4" t="inlineStr">
        <is>
          <t>Célula azul + fundo amarelo</t>
        </is>
      </c>
      <c r="B6" s="5" t="inlineStr">
        <is>
          <t>Input editável (receita do projeto, ou coeficiente pendente de preenchimento)</t>
        </is>
      </c>
    </row>
    <row r="7">
      <c r="A7" s="4" t="inlineStr">
        <is>
          <t>Célula preta</t>
        </is>
      </c>
      <c r="B7" s="5" t="inlineStr">
        <is>
          <t>Fórmula / coeficiente já confirmado — não editar sem atualizar a fonte</t>
        </is>
      </c>
    </row>
    <row r="8">
      <c r="A8" s="4" t="inlineStr">
        <is>
          <t>Selo 'Confirmado (BR)'</t>
        </is>
      </c>
      <c r="B8" s="5" t="inlineStr">
        <is>
          <t>Número real extraído de demonstração financeira ou dado oficial brasileiro</t>
        </is>
      </c>
    </row>
    <row r="9">
      <c r="A9" s="4" t="inlineStr">
        <is>
          <t>Selo 'Confirmado (intl)'</t>
        </is>
      </c>
      <c r="B9" s="5" t="inlineStr">
        <is>
          <t>Número real de fonte internacional — usar como benchmark/cross-check, não substituir dado BR quando existir</t>
        </is>
      </c>
    </row>
    <row r="10">
      <c r="A10" s="4" t="inlineStr">
        <is>
          <t>Selo 'Parcial'</t>
        </is>
      </c>
      <c r="B10" s="5" t="inlineStr">
        <is>
          <t>Número encontrado mas com ressalva de escopo, período ou reconciliação pendente</t>
        </is>
      </c>
    </row>
    <row r="11">
      <c r="A11" s="4" t="inlineStr">
        <is>
          <t>Selo 'Pendente'</t>
        </is>
      </c>
      <c r="B11" s="5" t="inlineStr">
        <is>
          <t>Sem número disponível via WebSearch — requer abrir o PDF/fonte primária diretamente (WebFetch bloqueado nas rodadas 1-3)</t>
        </is>
      </c>
    </row>
    <row r="13">
      <c r="A13" s="3" t="inlineStr">
        <is>
          <t>Abas (segmentos)</t>
        </is>
      </c>
    </row>
    <row r="14">
      <c r="A14" s="3" t="inlineStr">
        <is>
          <t>Rodovias</t>
        </is>
      </c>
      <c r="B14" s="5" t="inlineStr">
        <is>
          <t>Par receita+custo fechado (Autoban 2024)</t>
        </is>
      </c>
    </row>
    <row r="15">
      <c r="A15" s="3" t="inlineStr">
        <is>
          <t>Ferrovias</t>
        </is>
      </c>
      <c r="B15" s="5" t="inlineStr">
        <is>
          <t>Receita BR confirmada; custo por natureza pendente — usar benchmark intl</t>
        </is>
      </c>
    </row>
    <row r="16">
      <c r="A16" s="3" t="inlineStr">
        <is>
          <t>Portos</t>
        </is>
      </c>
      <c r="B16" s="5" t="inlineStr">
        <is>
          <t>Receita/EBITDA BR confirmados; custo por natureza pendente — usar benchmark intl (2 estágios)</t>
        </is>
      </c>
    </row>
    <row r="17">
      <c r="A17" s="3" t="inlineStr">
        <is>
          <t>Aeroportos</t>
        </is>
      </c>
      <c r="B17" s="5" t="inlineStr">
        <is>
          <t>Documento ANAC localizado; conteúdo pendente — usar benchmark intl (ICAO/ACI)</t>
        </is>
      </c>
    </row>
    <row r="18">
      <c r="A18" s="3" t="inlineStr">
        <is>
          <t>Saneamento</t>
        </is>
      </c>
      <c r="B18" s="5" t="inlineStr">
        <is>
          <t>Par completo confirmado (Sanepar 2024) — melhor cobertura do catálogo</t>
        </is>
      </c>
    </row>
    <row r="19">
      <c r="A19" s="3" t="inlineStr">
        <is>
          <t>Metrôs</t>
        </is>
      </c>
      <c r="B19" s="5" t="inlineStr">
        <is>
          <t>Par parcial BR (pessoal + energia); material/terceiros pendente — benchmark intl (WMATA) disponível</t>
        </is>
      </c>
    </row>
    <row r="20">
      <c r="A20" s="3" t="inlineStr">
        <is>
          <t>Energia</t>
        </is>
      </c>
      <c r="B20" s="5" t="inlineStr">
        <is>
          <t>PMSO/receita confirmado (Taesa, Alupar); quebra interna do PMSO pendente</t>
        </is>
      </c>
    </row>
    <row r="21">
      <c r="A21" s="3" t="inlineStr">
        <is>
          <t>Barragens</t>
        </is>
      </c>
      <c r="B21" s="5" t="inlineStr">
        <is>
          <t>Proxy via receita da mineradora (Vale) — sem receita de projeto isolada por natureza</t>
        </is>
      </c>
    </row>
    <row r="23" ht="28" customHeight="1">
      <c r="A23" s="6" t="inlineStr">
        <is>
          <t>Fonte completa e ressalvas metodológicas (WebFetch bloqueado nesta sessão — validar manualmente antes de uso oficial): pesquisa-fontes/FONTES_RECEITA_SETORIAL.md — Manta Associados, 2026-08-22.</t>
        </is>
      </c>
    </row>
    <row r="24" ht="42" customHeight="1">
      <c r="A24" s="6" t="inlineStr">
        <is>
          <t>Nota técnica: todas as fórmulas recalculam automaticamente ao abrir este arquivo no Excel (fullCalcOnLoad). Os valores já vêm com um resultado em cache calculado em Python a partir dos mesmos coeficientes das células ao lado — o ambiente de geração deste arquivo não teve LibreOffice disponível para o recálculo automático de verificação.</t>
        </is>
      </c>
    </row>
  </sheetData>
  <mergeCells count="18">
    <mergeCell ref="B17:E17"/>
    <mergeCell ref="B9:E9"/>
    <mergeCell ref="B18:E18"/>
    <mergeCell ref="B8:E8"/>
    <mergeCell ref="A24:E24"/>
    <mergeCell ref="B6:E6"/>
    <mergeCell ref="B21:E21"/>
    <mergeCell ref="B16:E16"/>
    <mergeCell ref="B15:E15"/>
    <mergeCell ref="B7:E7"/>
    <mergeCell ref="A1:E1"/>
    <mergeCell ref="B11:E11"/>
    <mergeCell ref="A23:E23"/>
    <mergeCell ref="B19:E19"/>
    <mergeCell ref="B20:E20"/>
    <mergeCell ref="B10:E10"/>
    <mergeCell ref="B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46" customWidth="1" min="4" max="4"/>
    <col width="14" customWidth="1" min="5" max="5"/>
  </cols>
  <sheetData>
    <row r="1" ht="26" customHeight="1">
      <c r="A1" s="1" t="inlineStr">
        <is>
          <t>RODOVIAS — Modelo Econômico-Financeiro (receita de pedágio -&gt; consumo)</t>
        </is>
      </c>
    </row>
    <row r="3">
      <c r="A3" s="3" t="inlineStr">
        <is>
          <t>Receita de pedágio anual do projeto</t>
        </is>
      </c>
      <c r="B3" s="7" t="n">
        <v>3695634</v>
      </c>
      <c r="C3" s="8" t="inlineStr">
        <is>
          <t>R$ mil</t>
        </is>
      </c>
    </row>
    <row r="5">
      <c r="A5" s="9" t="inlineStr">
        <is>
          <t>Coeficientes confirmados — Brasil (Autoban, 2024)</t>
        </is>
      </c>
    </row>
    <row r="6" ht="30" customHeight="1">
      <c r="A6" s="10" t="inlineStr">
        <is>
          <t>Categoria de consumo</t>
        </is>
      </c>
      <c r="B6" s="10" t="inlineStr">
        <is>
          <t>% da receita</t>
        </is>
      </c>
      <c r="C6" s="10" t="inlineStr">
        <is>
          <t>Valor (R$ mil)</t>
        </is>
      </c>
      <c r="D6" s="10" t="inlineStr">
        <is>
          <t>Fonte</t>
        </is>
      </c>
      <c r="E6" s="10" t="inlineStr">
        <is>
          <t>Confiança</t>
        </is>
      </c>
    </row>
    <row r="7">
      <c r="A7" s="11" t="inlineStr">
        <is>
          <t>Mão de obra (pessoal)</t>
        </is>
      </c>
      <c r="B7" s="12" t="n">
        <v>0.044709513983257</v>
      </c>
      <c r="C7" s="13">
        <f>$B$3*B7</f>
        <v>165230.0</v>
      </c>
      <c r="D7" s="14" t="inlineStr">
        <is>
          <t>Autoban 2024 — DFs (rodovias.motiva.com.br), via relatório de crédito Moody's Local 10/10/2025</t>
        </is>
      </c>
      <c r="E7" s="15" t="inlineStr">
        <is>
          <t>Confirmado (BR)</t>
        </is>
      </c>
    </row>
    <row r="8">
      <c r="A8" s="11" t="inlineStr">
        <is>
          <t>Serviços de terceiros (inclui conservação)</t>
        </is>
      </c>
      <c r="B8" s="12" t="n">
        <v>0.03454211104238136</v>
      </c>
      <c r="C8" s="13">
        <f>$B$3*B8</f>
        <v>127655.0</v>
      </c>
      <c r="D8" s="14" t="inlineStr">
        <is>
          <t>Autoban 2024 — idem</t>
        </is>
      </c>
      <c r="E8" s="15" t="inlineStr">
        <is>
          <t>Confirmado (BR)</t>
        </is>
      </c>
    </row>
    <row r="9">
      <c r="A9" s="11" t="inlineStr">
        <is>
          <t>Material / equipamento / veículos</t>
        </is>
      </c>
      <c r="B9" s="12" t="n">
        <v>0.008124722307457935</v>
      </c>
      <c r="C9" s="13">
        <f>$B$3*B9</f>
        <v>30025.999999999996</v>
      </c>
      <c r="D9" s="14" t="inlineStr">
        <is>
          <t>Autoban 2024 — idem</t>
        </is>
      </c>
      <c r="E9" s="15" t="inlineStr">
        <is>
          <t>Confirmado (BR)</t>
        </is>
      </c>
    </row>
    <row r="10">
      <c r="A10" s="16" t="inlineStr">
        <is>
          <t>Subtotal Brasil (Autoban 2024)</t>
        </is>
      </c>
      <c r="B10" s="17">
        <f>SUM(B7:B9)</f>
        <v>0.08737634733309631</v>
      </c>
      <c r="C10" s="18">
        <f>SUM(C7:C9)</f>
        <v>322911.0</v>
      </c>
      <c r="D10" s="19" t="n"/>
      <c r="E10" s="19" t="n"/>
    </row>
    <row r="13">
      <c r="A13" s="9" t="inlineStr">
        <is>
          <t>Benchmark internacional — Autostrade per l'Italia (ASPI), 2023 (Itália)</t>
        </is>
      </c>
    </row>
    <row r="14" ht="30" customHeight="1">
      <c r="A14" s="10" t="inlineStr">
        <is>
          <t>Categoria de consumo</t>
        </is>
      </c>
      <c r="B14" s="10" t="inlineStr">
        <is>
          <t>% da receita</t>
        </is>
      </c>
      <c r="C14" s="10" t="inlineStr">
        <is>
          <t>Valor (R$ mil)</t>
        </is>
      </c>
      <c r="D14" s="10" t="inlineStr">
        <is>
          <t>Fonte</t>
        </is>
      </c>
      <c r="E14" s="10" t="inlineStr">
        <is>
          <t>Confiança</t>
        </is>
      </c>
    </row>
    <row r="15">
      <c r="A15" s="11" t="inlineStr">
        <is>
          <t>Manutenção</t>
        </is>
      </c>
      <c r="B15" s="12" t="n">
        <v>0.108</v>
      </c>
      <c r="C15" s="13">
        <f>$B$3*B15</f>
        <v>399128.472</v>
      </c>
      <c r="D15" s="14" t="inlineStr">
        <is>
          <t>ASPI, balanço 2023 (Itália)</t>
        </is>
      </c>
      <c r="E15" s="15" t="inlineStr">
        <is>
          <t>Confirmado (intl)</t>
        </is>
      </c>
    </row>
    <row r="16">
      <c r="A16" s="11" t="inlineStr">
        <is>
          <t>Pessoal</t>
        </is>
      </c>
      <c r="B16" s="12" t="n">
        <v>0.101</v>
      </c>
      <c r="C16" s="13">
        <f>$B$3*B16</f>
        <v>373259.03400000004</v>
      </c>
      <c r="D16" s="14" t="inlineStr">
        <is>
          <t>ASPI, balanço 2023 (Itália)</t>
        </is>
      </c>
      <c r="E16" s="15" t="inlineStr">
        <is>
          <t>Confirmado (intl)</t>
        </is>
      </c>
    </row>
    <row r="17">
      <c r="A17" s="16" t="inlineStr">
        <is>
          <t>Subtotal ASPI 2023 (referência, não somar ao subtotal Brasil)</t>
        </is>
      </c>
      <c r="B17" s="17">
        <f>SUM(B15:B16)</f>
        <v>0.20900000000000002</v>
      </c>
      <c r="C17" s="18">
        <f>SUM(C15:C16)</f>
        <v>772387.506</v>
      </c>
      <c r="D17" s="19" t="n"/>
      <c r="E17" s="19" t="n"/>
    </row>
    <row r="20">
      <c r="A20" s="3" t="inlineStr">
        <is>
          <t>Aço &amp; cimento — nota metodológica</t>
        </is>
      </c>
    </row>
    <row r="21" ht="30" customHeight="1">
      <c r="A21" s="20" t="inlineStr">
        <is>
          <t>Nenhuma fonte baseada em receita (BR ou exterior) desagrega despesa em "aço" e "cimento/concreto" — achado estrutural confirmado nos 8 segmentos (rodadas 1-3). Demonstrações financeiras classificam despesa por natureza contábil de OPEX (pessoal, material genérico, serviços, depreciação), não por insumo físico de obra.</t>
        </is>
      </c>
    </row>
    <row r="22" ht="30" customHeight="1">
      <c r="A22" s="20" t="inlineStr">
        <is>
          <t>Para aço e cimento, usar o modelo já existente do Livro Azul: CAPEX/reinvestimento x coeficientes da Matriz de Insumo-Produto do IBGE (aço 2,0950% do valor investido -&gt; 4,66 t/R$mi; cimento 4,9107% -&gt; 109,13 t/R$mi), aplicado sobre o investimento, não sobre a receita operacional deste MEF.</t>
        </is>
      </c>
    </row>
  </sheetData>
  <mergeCells count="6">
    <mergeCell ref="A21:E21"/>
    <mergeCell ref="A20:E20"/>
    <mergeCell ref="A1:E1"/>
    <mergeCell ref="A5:E5"/>
    <mergeCell ref="A13:E13"/>
    <mergeCell ref="A22:E2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46" customWidth="1" min="4" max="4"/>
    <col width="14" customWidth="1" min="5" max="5"/>
  </cols>
  <sheetData>
    <row r="1" ht="26" customHeight="1">
      <c r="A1" s="1" t="inlineStr">
        <is>
          <t>FERROVIAS — Modelo Econômico-Financeiro (receita de transporte -&gt; consumo)</t>
        </is>
      </c>
    </row>
    <row r="3">
      <c r="A3" s="3" t="inlineStr">
        <is>
          <t>Receita líquida anual do projeto/concessão</t>
        </is>
      </c>
      <c r="B3" s="7" t="n">
        <v>7000000</v>
      </c>
      <c r="C3" s="8" t="inlineStr">
        <is>
          <t>R$ mil</t>
        </is>
      </c>
    </row>
    <row r="5">
      <c r="A5" s="9" t="inlineStr">
        <is>
          <t>Brasil (Rumo / MRS / VLI) — pendente</t>
        </is>
      </c>
    </row>
    <row r="6" ht="30" customHeight="1">
      <c r="A6" s="10" t="inlineStr">
        <is>
          <t>Categoria de consumo</t>
        </is>
      </c>
      <c r="B6" s="10" t="inlineStr">
        <is>
          <t>% da receita</t>
        </is>
      </c>
      <c r="C6" s="10" t="inlineStr">
        <is>
          <t>Valor (R$ mil)</t>
        </is>
      </c>
      <c r="D6" s="10" t="inlineStr">
        <is>
          <t>Fonte</t>
        </is>
      </c>
      <c r="E6" s="10" t="inlineStr">
        <is>
          <t>Confiança</t>
        </is>
      </c>
    </row>
    <row r="7">
      <c r="A7" s="11" t="inlineStr">
        <is>
          <t>Mão de obra — % não confirmado</t>
        </is>
      </c>
      <c r="B7" s="21" t="n"/>
      <c r="C7" s="13">
        <f>$B$3*B7</f>
        <v>0</v>
      </c>
      <c r="D7" s="14" t="inlineStr">
        <is>
          <t>Receita das 3 confirmada (Rumo, MRS, VLI); nota de custo por natureza não indexada via WebSearch — requer WebFetch</t>
        </is>
      </c>
      <c r="E7" s="22" t="inlineStr">
        <is>
          <t>Pendente</t>
        </is>
      </c>
    </row>
    <row r="10">
      <c r="A10" s="9" t="inlineStr">
        <is>
          <t>Benchmark internacional — peer comparison EUA (não somar entre si: são 2 estimativas alternativas do mesmo indicador, empresas diferentes)</t>
        </is>
      </c>
    </row>
    <row r="11" ht="30" customHeight="1">
      <c r="A11" s="10" t="inlineStr">
        <is>
          <t>Categoria de consumo</t>
        </is>
      </c>
      <c r="B11" s="10" t="inlineStr">
        <is>
          <t>% da receita</t>
        </is>
      </c>
      <c r="C11" s="10" t="inlineStr">
        <is>
          <t>Valor (R$ mil)</t>
        </is>
      </c>
      <c r="D11" s="10" t="inlineStr">
        <is>
          <t>Fonte</t>
        </is>
      </c>
      <c r="E11" s="10" t="inlineStr">
        <is>
          <t>Confiança</t>
        </is>
      </c>
    </row>
    <row r="12">
      <c r="A12" s="11" t="inlineStr">
        <is>
          <t>Compensation &amp; benefits — Union Pacific 2025</t>
        </is>
      </c>
      <c r="B12" s="12" t="n">
        <v>0.1997</v>
      </c>
      <c r="C12" s="13">
        <f>$B$3*B12</f>
        <v>1397900.0</v>
      </c>
      <c r="D12" s="14" t="inlineStr">
        <is>
          <t>10-K UNP FY2025, SEC EDGAR</t>
        </is>
      </c>
      <c r="E12" s="15" t="inlineStr">
        <is>
          <t>Confirmado (intl)</t>
        </is>
      </c>
    </row>
    <row r="13">
      <c r="A13" s="11" t="inlineStr">
        <is>
          <t>Labor &amp; fringe benefits — CSX 2024</t>
        </is>
      </c>
      <c r="B13" s="12" t="n">
        <v>0.204</v>
      </c>
      <c r="C13" s="13">
        <f>$B$3*B13</f>
        <v>1428000.0</v>
      </c>
      <c r="D13" s="14" t="inlineStr">
        <is>
          <t>10-K CSX FY2024, SEC EDGAR</t>
        </is>
      </c>
      <c r="E13" s="15" t="inlineStr">
        <is>
          <t>Confirmado (intl)</t>
        </is>
      </c>
    </row>
    <row r="16">
      <c r="A16" s="3" t="inlineStr">
        <is>
          <t>Aço &amp; cimento — nota metodológica</t>
        </is>
      </c>
    </row>
    <row r="17" ht="30" customHeight="1">
      <c r="A17" s="20" t="inlineStr">
        <is>
          <t>Nenhuma fonte baseada em receita (BR ou exterior) desagrega despesa em "aço" e "cimento/concreto" — achado estrutural confirmado nos 8 segmentos (rodadas 1-3). Demonstrações financeiras classificam despesa por natureza contábil de OPEX (pessoal, material genérico, serviços, depreciação), não por insumo físico de obra.</t>
        </is>
      </c>
    </row>
    <row r="18" ht="30" customHeight="1">
      <c r="A18" s="20" t="inlineStr">
        <is>
          <t>Para aço e cimento, usar o modelo já existente do Livro Azul: CAPEX/reinvestimento x coeficientes da Matriz de Insumo-Produto do IBGE (aço 2,0950% do valor investido -&gt; 4,66 t/R$mi; cimento 4,9107% -&gt; 109,13 t/R$mi), aplicado sobre o investimento, não sobre a receita operacional deste MEF.</t>
        </is>
      </c>
    </row>
  </sheetData>
  <mergeCells count="6">
    <mergeCell ref="A16:E16"/>
    <mergeCell ref="A10:E10"/>
    <mergeCell ref="A1:E1"/>
    <mergeCell ref="A5:E5"/>
    <mergeCell ref="A17:E17"/>
    <mergeCell ref="A18:E18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46" customWidth="1" min="4" max="4"/>
    <col width="14" customWidth="1" min="5" max="5"/>
  </cols>
  <sheetData>
    <row r="1" ht="26" customHeight="1">
      <c r="A1" s="1" t="inlineStr">
        <is>
          <t>PORTOS — Modelo Econômico-Financeiro (receita de movimentação -&gt; consumo)</t>
        </is>
      </c>
    </row>
    <row r="3">
      <c r="A3" s="3" t="inlineStr">
        <is>
          <t>Receita líquida anual do terminal/projeto</t>
        </is>
      </c>
      <c r="B3" s="7" t="n">
        <v>3000000</v>
      </c>
      <c r="C3" s="8" t="inlineStr">
        <is>
          <t>R$ mil</t>
        </is>
      </c>
    </row>
    <row r="5">
      <c r="A5" s="9" t="inlineStr">
        <is>
          <t>Brasil (Santos Brasil / Wilson Sons) — pendente</t>
        </is>
      </c>
    </row>
    <row r="6" ht="30" customHeight="1">
      <c r="A6" s="10" t="inlineStr">
        <is>
          <t>Categoria de consumo</t>
        </is>
      </c>
      <c r="B6" s="10" t="inlineStr">
        <is>
          <t>% da receita</t>
        </is>
      </c>
      <c r="C6" s="10" t="inlineStr">
        <is>
          <t>Valor (R$ mil)</t>
        </is>
      </c>
      <c r="D6" s="10" t="inlineStr">
        <is>
          <t>Fonte</t>
        </is>
      </c>
      <c r="E6" s="10" t="inlineStr">
        <is>
          <t>Confiança</t>
        </is>
      </c>
    </row>
    <row r="7">
      <c r="A7" s="11" t="inlineStr">
        <is>
          <t>Mão de obra — % não confirmado</t>
        </is>
      </c>
      <c r="B7" s="21" t="n"/>
      <c r="C7" s="13">
        <f>$B$3*B7</f>
        <v>0</v>
      </c>
      <c r="D7" s="14" t="inlineStr">
        <is>
          <t>Receita/EBITDA confirmados; nota de custo por natureza não indexada — requer WebFetch</t>
        </is>
      </c>
      <c r="E7" s="22" t="inlineStr">
        <is>
          <t>Pendente</t>
        </is>
      </c>
    </row>
    <row r="10">
      <c r="A10" s="9" t="inlineStr">
        <is>
          <t>Benchmark internacional (2 estágios) — escolher a linha pelo tipo de terminal, não somar entre si</t>
        </is>
      </c>
    </row>
    <row r="11" ht="30" customHeight="1">
      <c r="A11" s="10" t="inlineStr">
        <is>
          <t>Categoria de consumo</t>
        </is>
      </c>
      <c r="B11" s="10" t="inlineStr">
        <is>
          <t>% da receita</t>
        </is>
      </c>
      <c r="C11" s="10" t="inlineStr">
        <is>
          <t>Valor (R$ mil)</t>
        </is>
      </c>
      <c r="D11" s="10" t="inlineStr">
        <is>
          <t>Fonte</t>
        </is>
      </c>
      <c r="E11" s="10" t="inlineStr">
        <is>
          <t>Confiança</t>
        </is>
      </c>
    </row>
    <row r="12">
      <c r="A12" s="11" t="inlineStr">
        <is>
          <t>Mão de obra sobre OPEX — terminal de contêiner</t>
        </is>
      </c>
      <c r="B12" s="12" t="n">
        <v>0.375</v>
      </c>
      <c r="C12" s="13">
        <f>$B$3*B12</f>
        <v>1125000.0</v>
      </c>
      <c r="D12" s="14" t="inlineStr">
        <is>
          <t>Port Economics, Management and Policy, cap. 4.4 Port Labor (25-50% do OPEX, ponto médio)</t>
        </is>
      </c>
      <c r="E12" s="15" t="inlineStr">
        <is>
          <t>Confirmado (intl)</t>
        </is>
      </c>
    </row>
    <row r="13">
      <c r="A13" s="11" t="inlineStr">
        <is>
          <t>Mão de obra sobre OPEX — granel sólido</t>
        </is>
      </c>
      <c r="B13" s="12" t="n">
        <v>0.175</v>
      </c>
      <c r="C13" s="13">
        <f>$B$3*B13</f>
        <v>525000.0</v>
      </c>
      <c r="D13" s="14" t="inlineStr">
        <is>
          <t>Port Economics, Management and Policy — 15-20% do OPEX, ponto médio</t>
        </is>
      </c>
      <c r="E13" s="15" t="inlineStr">
        <is>
          <t>Confirmado (intl)</t>
        </is>
      </c>
    </row>
    <row r="14">
      <c r="A14" s="11" t="inlineStr">
        <is>
          <t>Mão de obra sobre OPEX — carga geral</t>
        </is>
      </c>
      <c r="B14" s="12" t="n">
        <v>0.575</v>
      </c>
      <c r="C14" s="13">
        <f>$B$3*B14</f>
        <v>1724999.9999999998</v>
      </c>
      <c r="D14" s="14" t="inlineStr">
        <is>
          <t>Port Economics, Management and Policy — 40-75% do OPEX, ponto médio</t>
        </is>
      </c>
      <c r="E14" s="15" t="inlineStr">
        <is>
          <t>Confirmado (intl)</t>
        </is>
      </c>
    </row>
    <row r="17">
      <c r="A17" s="3" t="inlineStr">
        <is>
          <t>Aço &amp; cimento — nota metodológica</t>
        </is>
      </c>
    </row>
    <row r="18" ht="30" customHeight="1">
      <c r="A18" s="20" t="inlineStr">
        <is>
          <t>Nenhuma fonte baseada em receita (BR ou exterior) desagrega despesa em "aço" e "cimento/concreto" — achado estrutural confirmado nos 8 segmentos (rodadas 1-3). Demonstrações financeiras classificam despesa por natureza contábil de OPEX (pessoal, material genérico, serviços, depreciação), não por insumo físico de obra.</t>
        </is>
      </c>
    </row>
    <row r="19" ht="30" customHeight="1">
      <c r="A19" s="20" t="inlineStr">
        <is>
          <t>Para aço e cimento, usar o modelo já existente do Livro Azul: CAPEX/reinvestimento x coeficientes da Matriz de Insumo-Produto do IBGE (aço 2,0950% do valor investido -&gt; 4,66 t/R$mi; cimento 4,9107% -&gt; 109,13 t/R$mi), aplicado sobre o investimento, não sobre a receita operacional deste MEF.</t>
        </is>
      </c>
    </row>
  </sheetData>
  <mergeCells count="6">
    <mergeCell ref="A10:E10"/>
    <mergeCell ref="A19:E19"/>
    <mergeCell ref="A1:E1"/>
    <mergeCell ref="A5:E5"/>
    <mergeCell ref="A17:E17"/>
    <mergeCell ref="A18:E18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46" customWidth="1" min="4" max="4"/>
    <col width="14" customWidth="1" min="5" max="5"/>
  </cols>
  <sheetData>
    <row r="1" ht="26" customHeight="1">
      <c r="A1" s="1" t="inlineStr">
        <is>
          <t>AEROPORTOS — Modelo Econômico-Financeiro (receita da concessão -&gt; consumo)</t>
        </is>
      </c>
    </row>
    <row r="3">
      <c r="A3" s="3" t="inlineStr">
        <is>
          <t>Receita líquida anual da concessão (tarifária + não tarifária)</t>
        </is>
      </c>
      <c r="B3" s="7" t="n">
        <v>3000000</v>
      </c>
      <c r="C3" s="8" t="inlineStr">
        <is>
          <t>R$ mil</t>
        </is>
      </c>
    </row>
    <row r="5">
      <c r="A5" s="9" t="inlineStr">
        <is>
          <t>Brasil (ANAC, por concessão) — pendente</t>
        </is>
      </c>
    </row>
    <row r="6" ht="30" customHeight="1">
      <c r="A6" s="10" t="inlineStr">
        <is>
          <t>Categoria de consumo</t>
        </is>
      </c>
      <c r="B6" s="10" t="inlineStr">
        <is>
          <t>% da receita</t>
        </is>
      </c>
      <c r="C6" s="10" t="inlineStr">
        <is>
          <t>Valor (R$ mil)</t>
        </is>
      </c>
      <c r="D6" s="10" t="inlineStr">
        <is>
          <t>Fonte</t>
        </is>
      </c>
      <c r="E6" s="10" t="inlineStr">
        <is>
          <t>Confiança</t>
        </is>
      </c>
    </row>
    <row r="7">
      <c r="A7" s="11" t="inlineStr">
        <is>
          <t>Mão de obra — % não confirmado</t>
        </is>
      </c>
      <c r="B7" s="21" t="n"/>
      <c r="C7" s="13">
        <f>$B$3*B7</f>
        <v>0</v>
      </c>
      <c r="D7" s="14" t="inlineStr">
        <is>
          <t>DF por concessão localizada (ex. Guarulhos SBGRDCF202412.pdf) — conteúdo não indexado, requer WebFetch</t>
        </is>
      </c>
      <c r="E7" s="22" t="inlineStr">
        <is>
          <t>Pendente</t>
        </is>
      </c>
    </row>
    <row r="10">
      <c r="A10" s="9" t="inlineStr">
        <is>
          <t>Benchmark internacional — ICAO/ACI State of Airport Economics (sobre OPEX agregado global, não sobre receita)</t>
        </is>
      </c>
    </row>
    <row r="11" ht="30" customHeight="1">
      <c r="A11" s="10" t="inlineStr">
        <is>
          <t>Categoria de consumo</t>
        </is>
      </c>
      <c r="B11" s="10" t="inlineStr">
        <is>
          <t>% da receita</t>
        </is>
      </c>
      <c r="C11" s="10" t="inlineStr">
        <is>
          <t>Valor (R$ mil)</t>
        </is>
      </c>
      <c r="D11" s="10" t="inlineStr">
        <is>
          <t>Fonte</t>
        </is>
      </c>
      <c r="E11" s="10" t="inlineStr">
        <is>
          <t>Confiança</t>
        </is>
      </c>
    </row>
    <row r="12">
      <c r="A12" s="11" t="inlineStr">
        <is>
          <t>Pessoal</t>
        </is>
      </c>
      <c r="B12" s="12" t="n">
        <v>0.345</v>
      </c>
      <c r="C12" s="13">
        <f>$B$3*B12</f>
        <v>1034999.9999999999</v>
      </c>
      <c r="D12" s="14" t="inlineStr">
        <is>
          <t>ICAO 'State of Airport Economics' (dados ACI, benchmark global &gt;1.000 aeroportos)</t>
        </is>
      </c>
      <c r="E12" s="15" t="inlineStr">
        <is>
          <t>Confirmado (intl)</t>
        </is>
      </c>
    </row>
    <row r="13">
      <c r="A13" s="11" t="inlineStr">
        <is>
          <t>Serviços contratados</t>
        </is>
      </c>
      <c r="B13" s="12" t="n">
        <v>0.26</v>
      </c>
      <c r="C13" s="13">
        <f>$B$3*B13</f>
        <v>780000.0</v>
      </c>
      <c r="D13" s="14" t="inlineStr">
        <is>
          <t>ICAO 'State of Airport Economics'</t>
        </is>
      </c>
      <c r="E13" s="15" t="inlineStr">
        <is>
          <t>Confirmado (intl)</t>
        </is>
      </c>
    </row>
    <row r="14">
      <c r="A14" s="16" t="inlineStr">
        <is>
          <t>Subtotal benchmark ICAO/ACI (sobre OPEX)</t>
        </is>
      </c>
      <c r="B14" s="17">
        <f>SUM(B12:B13)</f>
        <v>0.605</v>
      </c>
      <c r="C14" s="18">
        <f>SUM(C12:C13)</f>
        <v>1815000.0</v>
      </c>
      <c r="D14" s="19" t="n"/>
      <c r="E14" s="19" t="n"/>
    </row>
    <row r="17">
      <c r="A17" s="3" t="inlineStr">
        <is>
          <t>Aço &amp; cimento — nota metodológica</t>
        </is>
      </c>
    </row>
    <row r="18" ht="30" customHeight="1">
      <c r="A18" s="20" t="inlineStr">
        <is>
          <t>Nenhuma fonte baseada em receita (BR ou exterior) desagrega despesa em "aço" e "cimento/concreto" — achado estrutural confirmado nos 8 segmentos (rodadas 1-3). Demonstrações financeiras classificam despesa por natureza contábil de OPEX (pessoal, material genérico, serviços, depreciação), não por insumo físico de obra.</t>
        </is>
      </c>
    </row>
    <row r="19" ht="30" customHeight="1">
      <c r="A19" s="20" t="inlineStr">
        <is>
          <t>Para aço e cimento, usar o modelo já existente do Livro Azul: CAPEX/reinvestimento x coeficientes da Matriz de Insumo-Produto do IBGE (aço 2,0950% do valor investido -&gt; 4,66 t/R$mi; cimento 4,9107% -&gt; 109,13 t/R$mi), aplicado sobre o investimento, não sobre a receita operacional deste MEF.</t>
        </is>
      </c>
    </row>
  </sheetData>
  <mergeCells count="6">
    <mergeCell ref="A10:E10"/>
    <mergeCell ref="A19:E19"/>
    <mergeCell ref="A1:E1"/>
    <mergeCell ref="A5:E5"/>
    <mergeCell ref="A17:E17"/>
    <mergeCell ref="A18:E18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46" customWidth="1" min="4" max="4"/>
    <col width="14" customWidth="1" min="5" max="5"/>
  </cols>
  <sheetData>
    <row r="1" ht="26" customHeight="1">
      <c r="A1" s="1" t="inlineStr">
        <is>
          <t>SANEAMENTO — Modelo Econômico-Financeiro (receita operacional -&gt; consumo)</t>
        </is>
      </c>
    </row>
    <row r="3">
      <c r="A3" s="3" t="inlineStr">
        <is>
          <t>Receita operacional líquida anual do prestador/projeto</t>
        </is>
      </c>
      <c r="B3" s="7" t="n">
        <v>6800000</v>
      </c>
      <c r="C3" s="8" t="inlineStr">
        <is>
          <t>R$ mil</t>
        </is>
      </c>
    </row>
    <row r="5">
      <c r="A5" s="9" t="inlineStr">
        <is>
          <t>Coeficientes confirmados — Brasil (Sanepar, 2024)</t>
        </is>
      </c>
    </row>
    <row r="6" ht="30" customHeight="1">
      <c r="A6" s="10" t="inlineStr">
        <is>
          <t>Categoria de consumo</t>
        </is>
      </c>
      <c r="B6" s="10" t="inlineStr">
        <is>
          <t>% da receita</t>
        </is>
      </c>
      <c r="C6" s="10" t="inlineStr">
        <is>
          <t>Valor (R$ mil)</t>
        </is>
      </c>
      <c r="D6" s="10" t="inlineStr">
        <is>
          <t>Fonte</t>
        </is>
      </c>
      <c r="E6" s="10" t="inlineStr">
        <is>
          <t>Confiança</t>
        </is>
      </c>
    </row>
    <row r="7">
      <c r="A7" s="11" t="inlineStr">
        <is>
          <t>Mão de obra (pessoal)</t>
        </is>
      </c>
      <c r="B7" s="12" t="n">
        <v>0.137</v>
      </c>
      <c r="C7" s="13">
        <f>$B$3*B7</f>
        <v>931600.0000000001</v>
      </c>
      <c r="D7" s="14" t="inlineStr">
        <is>
          <t>Sanepar 2024 — Relatório da Administração e DFs (ri.sanepar.com.br)</t>
        </is>
      </c>
      <c r="E7" s="15" t="inlineStr">
        <is>
          <t>Confirmado (BR)</t>
        </is>
      </c>
    </row>
    <row r="8">
      <c r="A8" s="11" t="inlineStr">
        <is>
          <t>Material (produtos químicos)</t>
        </is>
      </c>
      <c r="B8" s="12" t="n">
        <v>0.032</v>
      </c>
      <c r="C8" s="13">
        <f>$B$3*B8</f>
        <v>217600.0</v>
      </c>
      <c r="D8" s="14" t="inlineStr">
        <is>
          <t>Sanepar 2024 — idem</t>
        </is>
      </c>
      <c r="E8" s="15" t="inlineStr">
        <is>
          <t>Confirmado (BR)</t>
        </is>
      </c>
    </row>
    <row r="9">
      <c r="A9" s="11" t="inlineStr">
        <is>
          <t>Energia elétrica</t>
        </is>
      </c>
      <c r="B9" s="12" t="n">
        <v>0.063</v>
      </c>
      <c r="C9" s="13">
        <f>$B$3*B9</f>
        <v>428400.0</v>
      </c>
      <c r="D9" s="14" t="inlineStr">
        <is>
          <t>Sanepar 2024 — idem</t>
        </is>
      </c>
      <c r="E9" s="15" t="inlineStr">
        <is>
          <t>Confirmado (BR)</t>
        </is>
      </c>
    </row>
    <row r="10">
      <c r="A10" s="11" t="inlineStr">
        <is>
          <t>Serviços de terceiros</t>
        </is>
      </c>
      <c r="B10" s="12" t="n">
        <v>0.079</v>
      </c>
      <c r="C10" s="13">
        <f>$B$3*B10</f>
        <v>537200.0</v>
      </c>
      <c r="D10" s="14" t="inlineStr">
        <is>
          <t>Sanepar 2024 — idem</t>
        </is>
      </c>
      <c r="E10" s="15" t="inlineStr">
        <is>
          <t>Confirmado (BR)</t>
        </is>
      </c>
    </row>
    <row r="11">
      <c r="A11" s="16" t="inlineStr">
        <is>
          <t>Subtotal Brasil (Sanepar 2024)</t>
        </is>
      </c>
      <c r="B11" s="17">
        <f>SUM(B7:B10)</f>
        <v>0.311</v>
      </c>
      <c r="C11" s="18">
        <f>SUM(C7:C10)</f>
        <v>2114800.0</v>
      </c>
      <c r="D11" s="19" t="n"/>
      <c r="E11" s="19" t="n"/>
    </row>
    <row r="14">
      <c r="A14" s="9" t="inlineStr">
        <is>
          <t>Benchmark internacional — Ofwat (Reino Unido)</t>
        </is>
      </c>
    </row>
    <row r="15" ht="30" customHeight="1">
      <c r="A15" s="10" t="inlineStr">
        <is>
          <t>Categoria de consumo</t>
        </is>
      </c>
      <c r="B15" s="10" t="inlineStr">
        <is>
          <t>% da receita</t>
        </is>
      </c>
      <c r="C15" s="10" t="inlineStr">
        <is>
          <t>Valor (R$ mil)</t>
        </is>
      </c>
      <c r="D15" s="10" t="inlineStr">
        <is>
          <t>Fonte</t>
        </is>
      </c>
      <c r="E15" s="10" t="inlineStr">
        <is>
          <t>Confiança</t>
        </is>
      </c>
    </row>
    <row r="16">
      <c r="A16" s="11" t="inlineStr">
        <is>
          <t>Energia (base cost médio do setor, 2011/12-2021/22)</t>
        </is>
      </c>
      <c r="B16" s="12" t="n">
        <v>0.11</v>
      </c>
      <c r="C16" s="13">
        <f>$B$3*B16</f>
        <v>748000.0</v>
      </c>
      <c r="D16" s="14" t="inlineStr">
        <is>
          <t>Ofwat, modelos de 'base cost' (Reino Unido)</t>
        </is>
      </c>
      <c r="E16" s="15" t="inlineStr">
        <is>
          <t>Confirmado (intl)</t>
        </is>
      </c>
    </row>
    <row r="17">
      <c r="A17" s="16" t="inlineStr">
        <is>
          <t>Subtotal benchmark Ofwat (referência, não somar ao subtotal Brasil)</t>
        </is>
      </c>
      <c r="B17" s="17">
        <f>SUM(B16:B16)</f>
        <v>0.11</v>
      </c>
      <c r="C17" s="18">
        <f>SUM(C16:C16)</f>
        <v>748000.0</v>
      </c>
      <c r="D17" s="19" t="n"/>
      <c r="E17" s="19" t="n"/>
    </row>
    <row r="20">
      <c r="A20" s="3" t="inlineStr">
        <is>
          <t>Aço &amp; cimento — nota metodológica</t>
        </is>
      </c>
    </row>
    <row r="21" ht="30" customHeight="1">
      <c r="A21" s="20" t="inlineStr">
        <is>
          <t>Nenhuma fonte baseada em receita (BR ou exterior) desagrega despesa em "aço" e "cimento/concreto" — achado estrutural confirmado nos 8 segmentos (rodadas 1-3). Demonstrações financeiras classificam despesa por natureza contábil de OPEX (pessoal, material genérico, serviços, depreciação), não por insumo físico de obra.</t>
        </is>
      </c>
    </row>
    <row r="22" ht="30" customHeight="1">
      <c r="A22" s="20" t="inlineStr">
        <is>
          <t>Para aço e cimento, usar o modelo já existente do Livro Azul: CAPEX/reinvestimento x coeficientes da Matriz de Insumo-Produto do IBGE (aço 2,0950% do valor investido -&gt; 4,66 t/R$mi; cimento 4,9107% -&gt; 109,13 t/R$mi), aplicado sobre o investimento, não sobre a receita operacional deste MEF.</t>
        </is>
      </c>
    </row>
  </sheetData>
  <mergeCells count="6">
    <mergeCell ref="A21:E21"/>
    <mergeCell ref="A20:E20"/>
    <mergeCell ref="A1:E1"/>
    <mergeCell ref="A5:E5"/>
    <mergeCell ref="A14:E14"/>
    <mergeCell ref="A22:E2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46" customWidth="1" min="4" max="4"/>
    <col width="14" customWidth="1" min="5" max="5"/>
  </cols>
  <sheetData>
    <row r="1" ht="26" customHeight="1">
      <c r="A1" s="1" t="inlineStr">
        <is>
          <t>METRÔS — Modelo Econômico-Financeiro (receita tarifária -&gt; consumo)</t>
        </is>
      </c>
    </row>
    <row r="3">
      <c r="A3" s="3" t="inlineStr">
        <is>
          <t>Receita operacional líquida anual do sistema/linha</t>
        </is>
      </c>
      <c r="B3" s="7" t="n">
        <v>3020000</v>
      </c>
      <c r="C3" s="8" t="inlineStr">
        <is>
          <t>R$ mil</t>
        </is>
      </c>
    </row>
    <row r="5">
      <c r="A5" s="9" t="inlineStr">
        <is>
          <t>Coeficientes confirmados — Brasil (Metrô-SP/CMSP, 2024) — parcial</t>
        </is>
      </c>
    </row>
    <row r="6" ht="30" customHeight="1">
      <c r="A6" s="10" t="inlineStr">
        <is>
          <t>Categoria de consumo</t>
        </is>
      </c>
      <c r="B6" s="10" t="inlineStr">
        <is>
          <t>% da receita</t>
        </is>
      </c>
      <c r="C6" s="10" t="inlineStr">
        <is>
          <t>Valor (R$ mil)</t>
        </is>
      </c>
      <c r="D6" s="10" t="inlineStr">
        <is>
          <t>Fonte</t>
        </is>
      </c>
      <c r="E6" s="10" t="inlineStr">
        <is>
          <t>Confiança</t>
        </is>
      </c>
    </row>
    <row r="7">
      <c r="A7" s="11" t="inlineStr">
        <is>
          <t>Mão de obra (pessoal)</t>
        </is>
      </c>
      <c r="B7" s="12" t="n">
        <v>0.6198675496688741</v>
      </c>
      <c r="C7" s="13">
        <f>$B$3*B7</f>
        <v>1872000.0</v>
      </c>
      <c r="D7" s="14" t="inlineStr">
        <is>
          <t>Metrô-SP/CMSP 2024 — Demonstração Financeira (ri.metrosp.com.br)</t>
        </is>
      </c>
      <c r="E7" s="15" t="inlineStr">
        <is>
          <t>Confirmado (BR)</t>
        </is>
      </c>
    </row>
    <row r="8">
      <c r="A8" s="11" t="inlineStr">
        <is>
          <t>Energia de tração</t>
        </is>
      </c>
      <c r="B8" s="12" t="n">
        <v>0.05466887417218543</v>
      </c>
      <c r="C8" s="13">
        <f>$B$3*B8</f>
        <v>165100.0</v>
      </c>
      <c r="D8" s="14" t="inlineStr">
        <is>
          <t>Metrô-SP/CMSP 2024 — idem, via Diário do Transporte/Mobilidade360</t>
        </is>
      </c>
      <c r="E8" s="15" t="inlineStr">
        <is>
          <t>Confirmado (BR)</t>
        </is>
      </c>
    </row>
    <row r="9">
      <c r="A9" s="11" t="inlineStr">
        <is>
          <t>Material / serviços de terceiros — % não confirmado</t>
        </is>
      </c>
      <c r="B9" s="21" t="n"/>
      <c r="C9" s="13">
        <f>$B$3*B9</f>
        <v>0</v>
      </c>
      <c r="D9" s="14" t="inlineStr">
        <is>
          <t>Nota completa de despesas por natureza não indexada — requer WebFetch</t>
        </is>
      </c>
      <c r="E9" s="22" t="inlineStr">
        <is>
          <t>Pendente</t>
        </is>
      </c>
    </row>
    <row r="10">
      <c r="A10" s="16" t="inlineStr">
        <is>
          <t>Subtotal Brasil parcial (falta material/serviços de terceiros)</t>
        </is>
      </c>
      <c r="B10" s="17">
        <f>SUM(B7:B9)</f>
        <v>0.6745364238410596</v>
      </c>
      <c r="C10" s="18">
        <f>SUM(C7:C9)</f>
        <v>2037100.0</v>
      </c>
      <c r="D10" s="19" t="n"/>
      <c r="E10" s="19" t="n"/>
    </row>
    <row r="13">
      <c r="A13" s="9" t="inlineStr">
        <is>
          <t>Benchmark internacional — WMATA (Washington Metro), 2021, heavy rail</t>
        </is>
      </c>
    </row>
    <row r="14" ht="30" customHeight="1">
      <c r="A14" s="10" t="inlineStr">
        <is>
          <t>Categoria de consumo</t>
        </is>
      </c>
      <c r="B14" s="10" t="inlineStr">
        <is>
          <t>% da receita</t>
        </is>
      </c>
      <c r="C14" s="10" t="inlineStr">
        <is>
          <t>Valor (R$ mil)</t>
        </is>
      </c>
      <c r="D14" s="10" t="inlineStr">
        <is>
          <t>Fonte</t>
        </is>
      </c>
      <c r="E14" s="10" t="inlineStr">
        <is>
          <t>Confiança</t>
        </is>
      </c>
    </row>
    <row r="15">
      <c r="A15" s="11" t="inlineStr">
        <is>
          <t>Labor</t>
        </is>
      </c>
      <c r="B15" s="12" t="n">
        <v>0.677</v>
      </c>
      <c r="C15" s="13">
        <f>$B$3*B15</f>
        <v>2044540.0000000002</v>
      </c>
      <c r="D15" s="14" t="inlineStr">
        <is>
          <t>NTD/FTA Transit Agency Profile 2021</t>
        </is>
      </c>
      <c r="E15" s="15" t="inlineStr">
        <is>
          <t>Confirmado (intl)</t>
        </is>
      </c>
    </row>
    <row r="16">
      <c r="A16" s="11" t="inlineStr">
        <is>
          <t>Materials &amp; supplies</t>
        </is>
      </c>
      <c r="B16" s="12" t="n">
        <v>0.06</v>
      </c>
      <c r="C16" s="13">
        <f>$B$3*B16</f>
        <v>181200.0</v>
      </c>
      <c r="D16" s="14" t="inlineStr">
        <is>
          <t>NTD/FTA Transit Agency Profile 2021</t>
        </is>
      </c>
      <c r="E16" s="15" t="inlineStr">
        <is>
          <t>Confirmado (intl)</t>
        </is>
      </c>
    </row>
    <row r="17">
      <c r="A17" s="16" t="inlineStr">
        <is>
          <t>Subtotal WMATA 2021 (referência, não somar ao subtotal Brasil)</t>
        </is>
      </c>
      <c r="B17" s="17">
        <f>SUM(B15:B16)</f>
        <v>0.7370000000000001</v>
      </c>
      <c r="C17" s="18">
        <f>SUM(C15:C16)</f>
        <v>2225740.0</v>
      </c>
      <c r="D17" s="19" t="n"/>
      <c r="E17" s="19" t="n"/>
    </row>
    <row r="20">
      <c r="A20" s="3" t="inlineStr">
        <is>
          <t>Aço &amp; cimento — nota metodológica</t>
        </is>
      </c>
    </row>
    <row r="21" ht="30" customHeight="1">
      <c r="A21" s="20" t="inlineStr">
        <is>
          <t>Nenhuma fonte baseada em receita (BR ou exterior) desagrega despesa em "aço" e "cimento/concreto" — achado estrutural confirmado nos 8 segmentos (rodadas 1-3). Demonstrações financeiras classificam despesa por natureza contábil de OPEX (pessoal, material genérico, serviços, depreciação), não por insumo físico de obra.</t>
        </is>
      </c>
    </row>
    <row r="22" ht="30" customHeight="1">
      <c r="A22" s="20" t="inlineStr">
        <is>
          <t>Para aço e cimento, usar o modelo já existente do Livro Azul: CAPEX/reinvestimento x coeficientes da Matriz de Insumo-Produto do IBGE (aço 2,0950% do valor investido -&gt; 4,66 t/R$mi; cimento 4,9107% -&gt; 109,13 t/R$mi), aplicado sobre o investimento, não sobre a receita operacional deste MEF.</t>
        </is>
      </c>
    </row>
  </sheetData>
  <mergeCells count="6">
    <mergeCell ref="A21:E21"/>
    <mergeCell ref="A20:E20"/>
    <mergeCell ref="A1:E1"/>
    <mergeCell ref="A5:E5"/>
    <mergeCell ref="A13:E13"/>
    <mergeCell ref="A22:E2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46" customWidth="1" min="4" max="4"/>
    <col width="14" customWidth="1" min="5" max="5"/>
  </cols>
  <sheetData>
    <row r="1" ht="26" customHeight="1">
      <c r="A1" s="1" t="inlineStr">
        <is>
          <t>ENERGIA (TRANSMISSÃO) — Modelo Econômico-Financeiro (receita/RAP -&gt; consumo)</t>
        </is>
      </c>
    </row>
    <row r="3">
      <c r="A3" s="3" t="inlineStr">
        <is>
          <t>Receita regulatória líquida anual (RAP) do projeto/concessão</t>
        </is>
      </c>
      <c r="B3" s="7" t="n">
        <v>2500000</v>
      </c>
      <c r="C3" s="8" t="inlineStr">
        <is>
          <t>R$ mil</t>
        </is>
      </c>
    </row>
    <row r="5">
      <c r="A5" s="9" t="inlineStr">
        <is>
          <t>Brasil — PMSO/receita, peer comparison (não somar entre si: são 2 concessionárias diferentes)</t>
        </is>
      </c>
    </row>
    <row r="6" ht="30" customHeight="1">
      <c r="A6" s="10" t="inlineStr">
        <is>
          <t>Categoria de consumo</t>
        </is>
      </c>
      <c r="B6" s="10" t="inlineStr">
        <is>
          <t>% da receita</t>
        </is>
      </c>
      <c r="C6" s="10" t="inlineStr">
        <is>
          <t>Valor (R$ mil)</t>
        </is>
      </c>
      <c r="D6" s="10" t="inlineStr">
        <is>
          <t>Fonte</t>
        </is>
      </c>
      <c r="E6" s="10" t="inlineStr">
        <is>
          <t>Confiança</t>
        </is>
      </c>
    </row>
    <row r="7">
      <c r="A7" s="11" t="inlineStr">
        <is>
          <t>PMSO / receita regulatória líquida — Taesa 2025</t>
        </is>
      </c>
      <c r="B7" s="12" t="n">
        <v>0.164</v>
      </c>
      <c r="C7" s="13">
        <f>$B$3*B7</f>
        <v>410000.0</v>
      </c>
      <c r="D7" s="14" t="inlineStr">
        <is>
          <t>Release 4T25 Taesa (ri.taesa.com.br)</t>
        </is>
      </c>
      <c r="E7" s="15" t="inlineStr">
        <is>
          <t>Confirmado (BR)</t>
        </is>
      </c>
    </row>
    <row r="8">
      <c r="A8" s="11" t="inlineStr">
        <is>
          <t>Custos e despesas operacionais / receita líquida — Alupar 2024</t>
        </is>
      </c>
      <c r="B8" s="12" t="n">
        <v>0.163</v>
      </c>
      <c r="C8" s="13">
        <f>$B$3*B8</f>
        <v>407500.0</v>
      </c>
      <c r="D8" s="14" t="inlineStr">
        <is>
          <t>Releases Alupar 4T24</t>
        </is>
      </c>
      <c r="E8" s="15" t="inlineStr">
        <is>
          <t>Confirmado (BR)</t>
        </is>
      </c>
    </row>
    <row r="11">
      <c r="A11" s="9" t="inlineStr">
        <is>
          <t>Benchmark internacional — FERC Form 1 (EUA) — pendente</t>
        </is>
      </c>
    </row>
    <row r="12" ht="30" customHeight="1">
      <c r="A12" s="10" t="inlineStr">
        <is>
          <t>Categoria de consumo</t>
        </is>
      </c>
      <c r="B12" s="10" t="inlineStr">
        <is>
          <t>% da receita</t>
        </is>
      </c>
      <c r="C12" s="10" t="inlineStr">
        <is>
          <t>Valor (R$ mil)</t>
        </is>
      </c>
      <c r="D12" s="10" t="inlineStr">
        <is>
          <t>Fonte</t>
        </is>
      </c>
      <c r="E12" s="10" t="inlineStr">
        <is>
          <t>Confiança</t>
        </is>
      </c>
    </row>
    <row r="13">
      <c r="A13" s="11" t="inlineStr">
        <is>
          <t>O&amp;M de transmissão (contas 561/562) — % não confirmado</t>
        </is>
      </c>
      <c r="B13" s="21" t="n"/>
      <c r="C13" s="13">
        <f>$B$3*B13</f>
        <v>0</v>
      </c>
      <c r="D13" s="14" t="inlineStr">
        <is>
          <t>Estrutura confirmada (págs. 320-323, Uniform System of Accounts); valor absoluto de utility real não extraído via WebSearch</t>
        </is>
      </c>
      <c r="E13" s="22" t="inlineStr">
        <is>
          <t>Pendente</t>
        </is>
      </c>
    </row>
    <row r="16">
      <c r="A16" s="3" t="inlineStr">
        <is>
          <t>Aço &amp; cimento — nota metodológica</t>
        </is>
      </c>
    </row>
    <row r="17" ht="30" customHeight="1">
      <c r="A17" s="20" t="inlineStr">
        <is>
          <t>Nenhuma fonte baseada em receita (BR ou exterior) desagrega despesa em "aço" e "cimento/concreto" — achado estrutural confirmado nos 8 segmentos (rodadas 1-3). Demonstrações financeiras classificam despesa por natureza contábil de OPEX (pessoal, material genérico, serviços, depreciação), não por insumo físico de obra.</t>
        </is>
      </c>
    </row>
    <row r="18" ht="30" customHeight="1">
      <c r="A18" s="20" t="inlineStr">
        <is>
          <t>Para aço e cimento, usar o modelo já existente do Livro Azul: CAPEX/reinvestimento x coeficientes da Matriz de Insumo-Produto do IBGE (aço 2,0950% do valor investido -&gt; 4,66 t/R$mi; cimento 4,9107% -&gt; 109,13 t/R$mi), aplicado sobre o investimento, não sobre a receita operacional deste MEF.</t>
        </is>
      </c>
    </row>
  </sheetData>
  <mergeCells count="6">
    <mergeCell ref="A16:E16"/>
    <mergeCell ref="A11:E11"/>
    <mergeCell ref="A1:E1"/>
    <mergeCell ref="A5:E5"/>
    <mergeCell ref="A17:E17"/>
    <mergeCell ref="A18:E18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46" customWidth="1" min="4" max="4"/>
    <col width="14" customWidth="1" min="5" max="5"/>
  </cols>
  <sheetData>
    <row r="1" ht="26" customHeight="1">
      <c r="A1" s="1" t="inlineStr">
        <is>
          <t>BARRAGENS — Modelo (receita da mineradora operadora -&gt; custo de gestão/descaracterização)</t>
        </is>
      </c>
    </row>
    <row r="3">
      <c r="A3" s="3" t="inlineStr">
        <is>
          <t>Receita líquida anual da mineradora operadora (proxy — não existe receita de barragem isolada)</t>
        </is>
      </c>
      <c r="B3" s="7" t="n">
        <v>38000000</v>
      </c>
      <c r="C3" s="8" t="inlineStr">
        <is>
          <t>R$ mil</t>
        </is>
      </c>
    </row>
    <row r="5">
      <c r="A5" s="9" t="inlineStr">
        <is>
          <t>Vale — série histórica (não somar entre si: são anos diferentes do mesmo indicador)</t>
        </is>
      </c>
    </row>
    <row r="6" ht="30" customHeight="1">
      <c r="A6" s="10" t="inlineStr">
        <is>
          <t>Categoria de consumo</t>
        </is>
      </c>
      <c r="B6" s="10" t="inlineStr">
        <is>
          <t>% da receita</t>
        </is>
      </c>
      <c r="C6" s="10" t="inlineStr">
        <is>
          <t>Valor (R$ mil)</t>
        </is>
      </c>
      <c r="D6" s="10" t="inlineStr">
        <is>
          <t>Fonte</t>
        </is>
      </c>
      <c r="E6" s="10" t="inlineStr">
        <is>
          <t>Confiança</t>
        </is>
      </c>
    </row>
    <row r="7">
      <c r="A7" s="11" t="inlineStr">
        <is>
          <t>Custo de descaracterização / receita líquida — Vale 2024</t>
        </is>
      </c>
      <c r="B7" s="12" t="n">
        <v>0.014</v>
      </c>
      <c r="C7" s="13">
        <f>$B$3*B7</f>
        <v>532000.0</v>
      </c>
      <c r="D7" s="14" t="inlineStr">
        <is>
          <t>Vale, release 4T24 / 20-F — desembolso US$533mi sobre receita líquida US$38.056mi</t>
        </is>
      </c>
      <c r="E7" s="15" t="inlineStr">
        <is>
          <t>Confirmado (BR)</t>
        </is>
      </c>
    </row>
    <row r="8">
      <c r="A8" s="11" t="inlineStr">
        <is>
          <t>Desembolso de descaracterização — Vale 2025 (US$378mi, ano cheio) — % não confirmado</t>
        </is>
      </c>
      <c r="B8" s="21" t="n"/>
      <c r="C8" s="13">
        <f>$B$3*B8</f>
        <v>0</v>
      </c>
      <c r="D8" s="14" t="inlineStr">
        <is>
          <t>Release 'Desempenho da Vale no 4T25 e 2025' (fev/2026) — receita líquida 2025 da Vale não coletada nesta rodada</t>
        </is>
      </c>
      <c r="E8" s="23" t="inlineStr">
        <is>
          <t>Parcial</t>
        </is>
      </c>
    </row>
    <row r="11">
      <c r="A11" s="3" t="inlineStr">
        <is>
          <t>Aço &amp; cimento — nota metodológica</t>
        </is>
      </c>
    </row>
    <row r="12" ht="30" customHeight="1">
      <c r="A12" s="20" t="inlineStr">
        <is>
          <t>Nenhuma fonte baseada em receita (BR ou exterior) desagrega despesa em "aço" e "cimento/concreto" — achado estrutural confirmado nos 8 segmentos (rodadas 1-3). Demonstrações financeiras classificam despesa por natureza contábil de OPEX (pessoal, material genérico, serviços, depreciação), não por insumo físico de obra.</t>
        </is>
      </c>
    </row>
    <row r="13" ht="30" customHeight="1">
      <c r="A13" s="20" t="inlineStr">
        <is>
          <t>Para aço e cimento, usar o modelo já existente do Livro Azul: CAPEX/reinvestimento x coeficientes da Matriz de Insumo-Produto do IBGE (aço 2,0950% do valor investido -&gt; 4,66 t/R$mi; cimento 4,9107% -&gt; 109,13 t/R$mi), aplicado sobre o investimento, não sobre a receita operacional deste MEF.</t>
        </is>
      </c>
    </row>
  </sheetData>
  <mergeCells count="5">
    <mergeCell ref="A12:E12"/>
    <mergeCell ref="A11:E11"/>
    <mergeCell ref="A1:E1"/>
    <mergeCell ref="A5:E5"/>
    <mergeCell ref="A13:E1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2026-08-22T21:41:15Z</dcterms:created>
  <dcterms:modified xsi:type="dcterms:W3CDTF">2026-08-22T21:41:15Z</dcterms:modified>
</cp:coreProperties>
</file>